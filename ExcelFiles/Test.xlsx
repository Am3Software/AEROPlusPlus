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mede\Documents\Aero++\API\AERO++_API\ExcelFiles\"/>
    </mc:Choice>
  </mc:AlternateContent>
  <xr:revisionPtr revIDLastSave="0" documentId="13_ncr:1_{90D9A3BA-75B5-4EC6-B9E9-765CFAC30402}" xr6:coauthVersionLast="47" xr6:coauthVersionMax="47" xr10:uidLastSave="{00000000-0000-0000-0000-000000000000}"/>
  <bookViews>
    <workbookView xWindow="-108" yWindow="-108" windowWidth="23256" windowHeight="12456" activeTab="1" xr2:uid="{00000000-000D-0000-FFFF-FFFF00000000}"/>
  </bookViews>
  <sheets>
    <sheet name="INFO" sheetId="4" r:id="rId1"/>
    <sheet name="FUSELAGE" sheetId="2" r:id="rId2"/>
    <sheet name="DEPENDENCI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tc={0B6E930B-50C5-4CD9-A1B5-86E8F157C51A}</author>
  </authors>
  <commentList>
    <comment ref="I1" authorId="0" shapeId="0" xr:uid="{0B6E930B-50C5-4CD9-A1B5-86E8F157C51A}">
      <text>
        <t>[Threaded comment]
Your version of Excel allows you to read this threaded comment; however, any edits to it will get removed if the file is opened in a newer version of Excel. Learn more: https://go.microsoft.com/fwlink/?linkid=870924
Comment:
    L'unione di tutte le variabili di geometria + parametri di missione/operativi dalle statistiche vere</t>
      </text>
    </comment>
  </commentList>
</comments>
</file>

<file path=xl/sharedStrings.xml><?xml version="1.0" encoding="utf-8"?>
<sst xmlns="http://schemas.openxmlformats.org/spreadsheetml/2006/main" count="212" uniqueCount="109">
  <si>
    <t>VAR 1</t>
  </si>
  <si>
    <t>adim</t>
  </si>
  <si>
    <t>m</t>
  </si>
  <si>
    <t>Unit of measure Y</t>
  </si>
  <si>
    <t>kg</t>
  </si>
  <si>
    <t>Unit of measure X</t>
  </si>
  <si>
    <t>None</t>
  </si>
  <si>
    <t>Add Trace</t>
  </si>
  <si>
    <t>CONSTANT</t>
  </si>
  <si>
    <t>LINEAR</t>
  </si>
  <si>
    <t>Method</t>
  </si>
  <si>
    <t>domeWidthToAverageBodyDiameter</t>
  </si>
  <si>
    <t>domeHeight</t>
  </si>
  <si>
    <t>averageBodyDiameter</t>
  </si>
  <si>
    <t>domeLengthToAverageBodyDiameter</t>
  </si>
  <si>
    <t>domeLengthRatioToAverageBodyDiameter</t>
  </si>
  <si>
    <t>fuselageOverallLength</t>
  </si>
  <si>
    <t xml:space="preserve">bodyLength </t>
  </si>
  <si>
    <t>weightPayload</t>
  </si>
  <si>
    <t>bodyLengthToFuselageOverallLength</t>
  </si>
  <si>
    <t>VAR 6</t>
  </si>
  <si>
    <t>VAR 5</t>
  </si>
  <si>
    <t>VAR 4</t>
  </si>
  <si>
    <t>VAR 3</t>
  </si>
  <si>
    <t>VAR 2</t>
  </si>
  <si>
    <t>FUSELAGE VARIABLE</t>
  </si>
  <si>
    <t xml:space="preserve">WING VARIABLES </t>
  </si>
  <si>
    <t>HORIZONTAL VARIABLES</t>
  </si>
  <si>
    <t>VERTICAL VARIABLES</t>
  </si>
  <si>
    <t>LANDING GEARS VARIABLES</t>
  </si>
  <si>
    <t>ENGINE VARIABLES</t>
  </si>
  <si>
    <t>INDEPENDENT VARIABLES</t>
  </si>
  <si>
    <t>wingSpan</t>
  </si>
  <si>
    <t>eqHTailPlanformSurfaceToWingPlanformSurface</t>
  </si>
  <si>
    <t>eqVTailSpan</t>
  </si>
  <si>
    <t>noseGearXPositionToFuselageOverallLength</t>
  </si>
  <si>
    <t>staticPower</t>
  </si>
  <si>
    <t>wingAspectRatio</t>
  </si>
  <si>
    <t>eqHTAilVolumetricRatio</t>
  </si>
  <si>
    <t>eqVTAilVolumetricRatio</t>
  </si>
  <si>
    <t>mainGearXPositionToFuselageOverallLength</t>
  </si>
  <si>
    <t>staticThrust</t>
  </si>
  <si>
    <t>wingTaperRatio</t>
  </si>
  <si>
    <t>hTailDihedral</t>
  </si>
  <si>
    <t>eqVTailAspectRatio</t>
  </si>
  <si>
    <t>mainGearStrutLength</t>
  </si>
  <si>
    <t>engineMaxDiameter</t>
  </si>
  <si>
    <t>wingSweepLeadingEdge</t>
  </si>
  <si>
    <t>eqHTailAspectRatio</t>
  </si>
  <si>
    <t>vTailTaperRatio</t>
  </si>
  <si>
    <t>mainGearWheelDiameter</t>
  </si>
  <si>
    <t>engineOverallLength</t>
  </si>
  <si>
    <t>wingXApexToFuselageOverallLength</t>
  </si>
  <si>
    <t>hTailTaperRatio</t>
  </si>
  <si>
    <t>vTailSweepLeadingEdge</t>
  </si>
  <si>
    <t>noseGearWheelDiameter</t>
  </si>
  <si>
    <t>propellerDiameter</t>
  </si>
  <si>
    <t xml:space="preserve">bodyLengthToFuselageOverallLength </t>
  </si>
  <si>
    <t>wingDihedral</t>
  </si>
  <si>
    <t>hTailSweepLeadingEdge</t>
  </si>
  <si>
    <t>ventralFinSpan</t>
  </si>
  <si>
    <t>wheelTrack</t>
  </si>
  <si>
    <t>numberOfPropellerBlades</t>
  </si>
  <si>
    <t>wingFlapChordRatio</t>
  </si>
  <si>
    <t>ventralFinPlanformSurface</t>
  </si>
  <si>
    <t>mainGearWheelWidth</t>
  </si>
  <si>
    <t>wingAileronChordRatio</t>
  </si>
  <si>
    <t>ventralFinTaperRatio</t>
  </si>
  <si>
    <t>noseGearWheelWidth</t>
  </si>
  <si>
    <t xml:space="preserve">wingXApexToFuselageOverallLength </t>
  </si>
  <si>
    <t>targetEndurance</t>
  </si>
  <si>
    <t>targetRange</t>
  </si>
  <si>
    <t>takeOffFieldLength</t>
  </si>
  <si>
    <t>landingFieldLength</t>
  </si>
  <si>
    <t>REGRESSION METHOD</t>
  </si>
  <si>
    <t>DEGREE</t>
  </si>
  <si>
    <t>POLYNOMIAL</t>
  </si>
  <si>
    <t>EXPONENTIAL</t>
  </si>
  <si>
    <t>POWER</t>
  </si>
  <si>
    <t>LOGARITHMIC</t>
  </si>
  <si>
    <t>WELCOME IN THE INPUT DATA MANAGER</t>
  </si>
  <si>
    <t>Mass</t>
  </si>
  <si>
    <t>Length</t>
  </si>
  <si>
    <t>Force</t>
  </si>
  <si>
    <t>Power</t>
  </si>
  <si>
    <t>Angle</t>
  </si>
  <si>
    <t>Newton</t>
  </si>
  <si>
    <t>Hp</t>
  </si>
  <si>
    <t>deg</t>
  </si>
  <si>
    <t>Column of independent variables</t>
  </si>
  <si>
    <t>Column of dependent variables</t>
  </si>
  <si>
    <t>Degree for poly regression</t>
  </si>
  <si>
    <t>Unit of measure X/Y</t>
  </si>
  <si>
    <t>Add Trace  (TODO)</t>
  </si>
  <si>
    <t>UNIT OF ALL DATA</t>
  </si>
  <si>
    <t>Default statistics</t>
  </si>
  <si>
    <t>Unit of measure</t>
  </si>
  <si>
    <t>Yes</t>
  </si>
  <si>
    <t>PISTON</t>
  </si>
  <si>
    <t>TURBO_FAN</t>
  </si>
  <si>
    <t>ft</t>
  </si>
  <si>
    <t>m^2</t>
  </si>
  <si>
    <t>ft^2</t>
  </si>
  <si>
    <t>Watt</t>
  </si>
  <si>
    <t>Pound_force</t>
  </si>
  <si>
    <t>lb</t>
  </si>
  <si>
    <t>slug</t>
  </si>
  <si>
    <t>rad</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</si>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</sst>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9">
    <xf numFmtId="0" fontId="0" fillId="0" borderId="0" xfId="0"/>
    <xf numFmtId="3"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1" fillId="3" borderId="0" xfId="0" applyFont="1" applyFill="1"/>
    <xf numFmtId="0" fontId="1" fillId="0" borderId="0" xfId="0" applyFont="1"/>
    <xf numFmtId="0" fontId="0" fillId="9" borderId="0" xfId="0" applyFill="1"/>
    <xf numFmtId="0" fontId="0" fillId="10" borderId="0" xfId="0" applyFill="1"/>
    <xf numFmtId="0" fontId="0" fillId="0" borderId="1" xfId="0" applyBorder="1"/>
    <xf numFmtId="0" fontId="0" fillId="0" borderId="2" xfId="0" applyBorder="1"/>
    <xf numFmtId="0" fontId="0" fillId="0" borderId="3" xfId="0" applyBorder="1"/>
    <xf numFmtId="0" fontId="0" fillId="0" borderId="5" xfId="0" applyBorder="1"/>
    <xf numFmtId="0" fontId="0" fillId="0" borderId="6" xfId="0" applyBorder="1"/>
    <xf numFmtId="0" fontId="0" fillId="11" borderId="5" xfId="0" applyFill="1" applyBorder="1"/>
    <xf numFmtId="0" fontId="0" fillId="12" borderId="5" xfId="0" applyFill="1" applyBorder="1"/>
    <xf numFmtId="0" fontId="0" fillId="0" borderId="8" xfId="0" applyBorder="1"/>
    <xf numFmtId="0" fontId="0" fillId="12" borderId="7" xfId="0" applyFill="1" applyBorder="1"/>
    <xf numFmtId="0" fontId="0" fillId="0" borderId="4" xfId="0"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0" borderId="0" xfId="0" applyFont="1" applyAlignment="1">
      <alignment horizontal="center"/>
    </xf>
    <xf numFmtId="0" fontId="1" fillId="10" borderId="0" xfId="0" applyFont="1" applyFill="1" applyAlignment="1">
      <alignment horizontal="center"/>
    </xf>
    <xf numFmtId="0" fontId="0" fillId="0" borderId="0" xfId="0" applyAlignment="1">
      <alignment horizontal="center"/>
    </xf>
  </cellXfs>
  <cellStyles count="1">
    <cellStyle name="Normal" xfId="0" builtinId="0"/>
  </cellStyles>
  <dxfs count="3">
    <dxf>
      <fill>
        <patternFill>
          <bgColor rgb="FFFF0000"/>
        </patternFill>
      </fill>
    </dxf>
    <dxf>
      <font>
        <color theme="9" tint="-0.24994659260841701"/>
      </font>
      <fill>
        <patternFill>
          <bgColor theme="6" tint="0.79998168889431442"/>
        </patternFill>
      </fill>
    </dxf>
    <dxf>
      <font>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7620</xdr:rowOff>
    </xdr:from>
    <xdr:to>
      <xdr:col>10</xdr:col>
      <xdr:colOff>0</xdr:colOff>
      <xdr:row>6</xdr:row>
      <xdr:rowOff>38100</xdr:rowOff>
    </xdr:to>
    <xdr:sp macro="" textlink="">
      <xdr:nvSpPr>
        <xdr:cNvPr id="2" name="TextBox 1">
          <a:extLst>
            <a:ext uri="{FF2B5EF4-FFF2-40B4-BE49-F238E27FC236}">
              <a16:creationId xmlns:a16="http://schemas.microsoft.com/office/drawing/2014/main" id="{74784FE2-5CFA-41AC-B5FE-E757B223EF52}"/>
            </a:ext>
          </a:extLst>
        </xdr:cNvPr>
        <xdr:cNvSpPr txBox="1"/>
      </xdr:nvSpPr>
      <xdr:spPr>
        <a:xfrm>
          <a:off x="0" y="190500"/>
          <a:ext cx="8161020" cy="944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a:solidFill>
                <a:schemeClr val="dk1"/>
              </a:solidFill>
              <a:effectLst/>
              <a:latin typeface="+mn-lt"/>
              <a:ea typeface="+mn-ea"/>
              <a:cs typeface="+mn-cs"/>
            </a:rPr>
            <a:t>Summary</a:t>
          </a:r>
          <a:r>
            <a:rPr lang="en-GB" sz="1100" b="1" i="0" baseline="0">
              <a:solidFill>
                <a:schemeClr val="dk1"/>
              </a:solidFill>
              <a:effectLst/>
              <a:latin typeface="+mn-lt"/>
              <a:ea typeface="+mn-ea"/>
              <a:cs typeface="+mn-cs"/>
            </a:rPr>
            <a:t> of the main settings</a:t>
          </a:r>
          <a:r>
            <a:rPr lang="en-GB" sz="1100" b="0" i="0">
              <a:solidFill>
                <a:schemeClr val="dk1"/>
              </a:solidFill>
              <a:effectLst/>
              <a:latin typeface="+mn-lt"/>
              <a:ea typeface="+mn-ea"/>
              <a:cs typeface="+mn-cs"/>
            </a:rPr>
            <a:t>. On every sheet, it is possible to change the dependent and independent variables through the respective lists. Please set the variables in a logical order useful for your project.</a:t>
          </a:r>
          <a:r>
            <a:rPr lang="en-GB" sz="1100" b="0" i="0" baseline="0">
              <a:solidFill>
                <a:schemeClr val="dk1"/>
              </a:solidFill>
              <a:effectLst/>
              <a:latin typeface="+mn-lt"/>
              <a:ea typeface="+mn-ea"/>
              <a:cs typeface="+mn-cs"/>
            </a:rPr>
            <a:t> Replicate the Sheet FUSELAGE if you want to add other components. Check </a:t>
          </a:r>
          <a:r>
            <a:rPr lang="en-GB" sz="1100" b="1" i="0" baseline="0">
              <a:solidFill>
                <a:schemeClr val="dk1"/>
              </a:solidFill>
              <a:effectLst/>
              <a:latin typeface="+mn-lt"/>
              <a:ea typeface="+mn-ea"/>
              <a:cs typeface="+mn-cs"/>
            </a:rPr>
            <a:t>UNIT OF ALL DATA </a:t>
          </a:r>
          <a:r>
            <a:rPr lang="en-GB" sz="1100" b="0" i="0" baseline="0">
              <a:solidFill>
                <a:schemeClr val="dk1"/>
              </a:solidFill>
              <a:effectLst/>
              <a:latin typeface="+mn-lt"/>
              <a:ea typeface="+mn-ea"/>
              <a:cs typeface="+mn-cs"/>
            </a:rPr>
            <a:t>to specify the MASS, LENGTH,FORCE,POWER,ANGLE and AREA standard unit of measure for every single sheet. </a:t>
          </a:r>
          <a:endParaRPr lang="en-GB" sz="1100" baseline="0"/>
        </a:p>
      </xdr:txBody>
    </xdr:sp>
    <xdr:clientData/>
  </xdr:twoCellAnchor>
  <xdr:twoCellAnchor>
    <xdr:from>
      <xdr:col>0</xdr:col>
      <xdr:colOff>2087880</xdr:colOff>
      <xdr:row>6</xdr:row>
      <xdr:rowOff>22860</xdr:rowOff>
    </xdr:from>
    <xdr:to>
      <xdr:col>10</xdr:col>
      <xdr:colOff>0</xdr:colOff>
      <xdr:row>17</xdr:row>
      <xdr:rowOff>167640</xdr:rowOff>
    </xdr:to>
    <xdr:sp macro="" textlink="">
      <xdr:nvSpPr>
        <xdr:cNvPr id="3" name="TextBox 2">
          <a:extLst>
            <a:ext uri="{FF2B5EF4-FFF2-40B4-BE49-F238E27FC236}">
              <a16:creationId xmlns:a16="http://schemas.microsoft.com/office/drawing/2014/main" id="{3F501CDB-8588-4060-B99A-764B0913AD20}"/>
            </a:ext>
          </a:extLst>
        </xdr:cNvPr>
        <xdr:cNvSpPr txBox="1"/>
      </xdr:nvSpPr>
      <xdr:spPr>
        <a:xfrm>
          <a:off x="2087880" y="1120140"/>
          <a:ext cx="6073140" cy="2156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The first column of each VAR, represents the independent variable, in every sheet.</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mn-lt"/>
              <a:ea typeface="+mn-ea"/>
              <a:cs typeface="+mn-cs"/>
            </a:rPr>
            <a:t>The second column of each VAR, represents the dependent variable, in every sheet.</a:t>
          </a:r>
        </a:p>
        <a:p>
          <a:r>
            <a:rPr lang="en-GB" sz="1100"/>
            <a:t>Through</a:t>
          </a:r>
          <a:r>
            <a:rPr lang="en-GB" sz="1100" baseline="0"/>
            <a:t> this selection is possible to choose the regression model.</a:t>
          </a:r>
        </a:p>
        <a:p>
          <a:r>
            <a:rPr lang="en-GB" sz="1100"/>
            <a:t>Below the typology of the method there's</a:t>
          </a:r>
          <a:r>
            <a:rPr lang="en-GB" sz="1100" baseline="0"/>
            <a:t> the degree only for poly regression.Default value set 1.</a:t>
          </a:r>
        </a:p>
        <a:p>
          <a:r>
            <a:rPr lang="en-GB" sz="1100" b="0" i="0">
              <a:solidFill>
                <a:schemeClr val="dk1"/>
              </a:solidFill>
              <a:effectLst/>
              <a:latin typeface="+mn-lt"/>
              <a:ea typeface="+mn-ea"/>
              <a:cs typeface="+mn-cs"/>
            </a:rPr>
            <a:t>Enable the plot to display the input variables as well as the solution obtained from the regression</a:t>
          </a:r>
          <a:r>
            <a:rPr lang="en-GB" sz="1100" b="0" i="0" baseline="0">
              <a:solidFill>
                <a:schemeClr val="dk1"/>
              </a:solidFill>
              <a:effectLst/>
              <a:latin typeface="+mn-lt"/>
              <a:ea typeface="+mn-ea"/>
              <a:cs typeface="+mn-cs"/>
            </a:rPr>
            <a:t> </a:t>
          </a:r>
          <a:r>
            <a:rPr lang="en-GB" sz="1100" b="0" i="0">
              <a:solidFill>
                <a:schemeClr val="dk1"/>
              </a:solidFill>
              <a:effectLst/>
              <a:latin typeface="+mn-lt"/>
              <a:ea typeface="+mn-ea"/>
              <a:cs typeface="+mn-cs"/>
            </a:rPr>
            <a:t>equation(TODO)</a:t>
          </a:r>
          <a:r>
            <a:rPr lang="en-GB" sz="1100" b="0" i="0" baseline="0">
              <a:solidFill>
                <a:schemeClr val="dk1"/>
              </a:solidFill>
              <a:effectLst/>
              <a:latin typeface="+mn-lt"/>
              <a:ea typeface="+mn-ea"/>
              <a:cs typeface="+mn-cs"/>
            </a:rPr>
            <a:t>. Selected the unit of measure for the independent and dependent variables. Please note that this will change the unit of measure from the standard one to the chosen one, and it will propagate for the related variable along the entire workflow.</a:t>
          </a:r>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person displayName="AMEDEO FALCO" id="{6515DC96-D34C-48A6-9B40-69FF9D0038B5}" userId="S::ame.falco@studenti.unina.it::58733d6e-3a5d-4925-ab91-b765ea0ee4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4-02-09T15:47:47.04" personId="{6515DC96-D34C-48A6-9B40-69FF9D0038B5}" id="{0B6E930B-50C5-4CD9-A1B5-86E8F157C51A}">
    <text>L'unione di tutte le variabili di geometria + parametri di missione/operativi dalle statistiche vere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A99E5-42F5-49B6-B423-3675322E73CD}">
  <sheetPr>
    <tabColor rgb="FFFFFF00"/>
  </sheetPr>
  <dimension ref="A1:AA18"/>
  <sheetViews>
    <sheetView topLeftCell="M1" workbookViewId="0">
      <selection activeCell="X10" sqref="X10:X11"/>
    </sheetView>
  </sheetViews>
  <sheetFormatPr defaultRowHeight="14.4" x14ac:dyDescent="0.3"/>
  <cols>
    <col min="1" max="1" width="30.6640625" customWidth="1"/>
    <col min="10" max="10" width="17.21875" customWidth="1"/>
    <col min="13" max="13" width="15.88671875" customWidth="1"/>
    <col min="14" max="14" width="23.5546875" customWidth="1"/>
    <col min="15" max="15" width="16.109375" customWidth="1"/>
    <col min="16" max="16" width="23.44140625" customWidth="1"/>
    <col min="17" max="17" width="18.109375" customWidth="1"/>
    <col min="18" max="18" width="23.44140625" customWidth="1"/>
    <col min="19" max="19" width="20.21875" customWidth="1"/>
  </cols>
  <sheetData>
    <row r="1" spans="1:27" x14ac:dyDescent="0.3">
      <c r="A1" s="23" t="s">
        <v>80</v>
      </c>
      <c r="B1" s="24"/>
      <c r="C1" s="24"/>
      <c r="D1" s="24"/>
      <c r="E1" s="24"/>
      <c r="F1" s="24"/>
      <c r="G1" s="24"/>
      <c r="H1" s="24"/>
      <c r="I1" s="24"/>
      <c r="J1" s="25"/>
      <c r="M1" s="26"/>
      <c r="N1" s="26"/>
      <c r="O1" s="26"/>
      <c r="P1" s="26"/>
      <c r="Q1" s="10"/>
      <c r="R1" s="10"/>
      <c r="S1" s="10"/>
      <c r="V1" s="27" t="s">
        <v>94</v>
      </c>
      <c r="W1" s="27"/>
      <c r="X1" s="27"/>
      <c r="Y1" s="27"/>
      <c r="Z1" s="27"/>
      <c r="AA1" s="27"/>
    </row>
    <row r="2" spans="1:27" x14ac:dyDescent="0.3">
      <c r="A2" s="13"/>
      <c r="B2" s="14"/>
      <c r="C2" s="14"/>
      <c r="D2" s="14"/>
      <c r="E2" s="14"/>
      <c r="F2" s="14"/>
      <c r="G2" s="14"/>
      <c r="H2" s="14"/>
      <c r="I2" s="14"/>
      <c r="J2" s="15"/>
      <c r="M2" s="26"/>
      <c r="N2" s="26"/>
      <c r="O2" s="26"/>
      <c r="P2" s="26"/>
      <c r="V2" t="s">
        <v>81</v>
      </c>
      <c r="W2" t="s">
        <v>82</v>
      </c>
      <c r="X2" t="s">
        <v>83</v>
      </c>
      <c r="Y2" t="s">
        <v>84</v>
      </c>
      <c r="Z2" t="s">
        <v>85</v>
      </c>
      <c r="AA2" t="s">
        <v>108</v>
      </c>
    </row>
    <row r="3" spans="1:27" x14ac:dyDescent="0.3">
      <c r="A3" s="16"/>
      <c r="J3" s="17"/>
      <c r="M3" s="10"/>
      <c r="N3" s="10"/>
      <c r="O3" s="10"/>
      <c r="P3" s="10"/>
      <c r="V3" t="s">
        <v>4</v>
      </c>
      <c r="W3" t="s">
        <v>2</v>
      </c>
      <c r="X3" t="s">
        <v>86</v>
      </c>
      <c r="Y3" t="s">
        <v>87</v>
      </c>
      <c r="Z3" t="s">
        <v>88</v>
      </c>
      <c r="AA3" t="s">
        <v>101</v>
      </c>
    </row>
    <row r="4" spans="1:27" x14ac:dyDescent="0.3">
      <c r="A4" s="16"/>
      <c r="J4" s="17"/>
    </row>
    <row r="5" spans="1:27" x14ac:dyDescent="0.3">
      <c r="A5" s="16"/>
      <c r="J5" s="17"/>
    </row>
    <row r="6" spans="1:27" x14ac:dyDescent="0.3">
      <c r="A6" s="16"/>
      <c r="J6" s="17"/>
      <c r="R6" s="10"/>
      <c r="S6" s="10"/>
    </row>
    <row r="7" spans="1:27" x14ac:dyDescent="0.3">
      <c r="A7" s="18" t="s">
        <v>89</v>
      </c>
      <c r="J7" s="17"/>
    </row>
    <row r="8" spans="1:27" x14ac:dyDescent="0.3">
      <c r="A8" s="18" t="s">
        <v>90</v>
      </c>
      <c r="J8" s="17"/>
    </row>
    <row r="9" spans="1:27" x14ac:dyDescent="0.3">
      <c r="A9" s="18" t="s">
        <v>10</v>
      </c>
      <c r="J9" s="17"/>
    </row>
    <row r="10" spans="1:27" x14ac:dyDescent="0.3">
      <c r="A10" s="18" t="s">
        <v>91</v>
      </c>
      <c r="J10" s="17"/>
    </row>
    <row r="11" spans="1:27" x14ac:dyDescent="0.3">
      <c r="A11" s="18" t="s">
        <v>93</v>
      </c>
      <c r="J11" s="17"/>
      <c r="M11" s="10"/>
      <c r="N11" s="10"/>
    </row>
    <row r="12" spans="1:27" x14ac:dyDescent="0.3">
      <c r="A12" s="18" t="s">
        <v>92</v>
      </c>
      <c r="J12" s="17"/>
    </row>
    <row r="13" spans="1:27" x14ac:dyDescent="0.3">
      <c r="J13" s="17"/>
    </row>
    <row r="14" spans="1:27" x14ac:dyDescent="0.3">
      <c r="A14" s="19"/>
      <c r="J14" s="17"/>
    </row>
    <row r="15" spans="1:27" x14ac:dyDescent="0.3">
      <c r="A15" s="19"/>
      <c r="J15" s="17"/>
      <c r="O15" s="10"/>
      <c r="P15" s="10"/>
    </row>
    <row r="16" spans="1:27" x14ac:dyDescent="0.3">
      <c r="A16" s="19"/>
      <c r="J16" s="17"/>
    </row>
    <row r="17" spans="1:10" x14ac:dyDescent="0.3">
      <c r="A17" s="19"/>
      <c r="J17" s="17"/>
    </row>
    <row r="18" spans="1:10" x14ac:dyDescent="0.3">
      <c r="A18" s="21"/>
      <c r="B18" s="22"/>
      <c r="C18" s="22"/>
      <c r="D18" s="22"/>
      <c r="E18" s="22"/>
      <c r="F18" s="22"/>
      <c r="G18" s="22"/>
      <c r="H18" s="22"/>
      <c r="I18" s="22"/>
      <c r="J18" s="20"/>
    </row>
  </sheetData>
  <mergeCells count="5">
    <mergeCell ref="A1:J1"/>
    <mergeCell ref="M1:P1"/>
    <mergeCell ref="M2:N2"/>
    <mergeCell ref="O2:P2"/>
    <mergeCell ref="V1:AA1"/>
  </mergeCells>
  <conditionalFormatting sqref="S3">
    <cfRule type="expression" dxfId="2" priority="1">
      <formula>$R$3="None"</formula>
    </cfRule>
    <cfRule type="expression" dxfId="1" priority="2">
      <formula>$R$3="Yes"</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1A56153-C083-4944-97DE-3BE71C961569}">
          <x14:formula1>
            <xm:f>DEPENDENCIES!$O$2:$O$15</xm:f>
          </x14:formula1>
          <xm:sqref>V3:AA3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62F83-C1EF-4E49-97D5-2081C61A7BEF}">
  <dimension ref="A1:AG19"/>
  <sheetViews>
    <sheetView tabSelected="1" workbookViewId="0">
      <selection activeCell="C15" sqref="C15"/>
    </sheetView>
  </sheetViews>
  <sheetFormatPr defaultRowHeight="14.4" x14ac:dyDescent="0.3"/>
  <cols>
    <col min="1" max="1" width="19.33203125" customWidth="1"/>
    <col min="2" max="2" width="44" customWidth="1"/>
    <col min="3" max="3" width="17.6640625" customWidth="1"/>
    <col min="4" max="4" width="29.88671875" customWidth="1"/>
    <col min="5" max="5" width="23.5546875" customWidth="1"/>
    <col min="6" max="6" width="16" customWidth="1"/>
    <col min="7" max="7" width="24.109375" customWidth="1"/>
    <col min="8" max="8" width="33.5546875" customWidth="1"/>
    <col min="9" max="9" width="18.21875" customWidth="1"/>
    <col min="10" max="10" width="40.6640625" customWidth="1"/>
    <col min="11" max="11" width="32.21875" customWidth="1"/>
    <col min="12" max="12" width="18.33203125" customWidth="1"/>
    <col min="13" max="13" width="36.6640625" customWidth="1"/>
    <col min="14" max="14" width="42.44140625" customWidth="1"/>
    <col min="15" max="15" width="18.6640625" customWidth="1"/>
    <col min="16" max="16" width="39.5546875" customWidth="1"/>
    <col min="17" max="17" width="33.33203125" customWidth="1"/>
    <col min="18" max="18" width="16.44140625" customWidth="1"/>
  </cols>
  <sheetData>
    <row r="1" spans="1:33" x14ac:dyDescent="0.3">
      <c r="A1" s="28" t="s">
        <v>0</v>
      </c>
      <c r="B1" s="28"/>
      <c r="C1" s="28"/>
      <c r="D1" s="28" t="s">
        <v>24</v>
      </c>
      <c r="E1" s="28"/>
      <c r="F1" s="28"/>
      <c r="G1" s="28" t="s">
        <v>23</v>
      </c>
      <c r="H1" s="28"/>
      <c r="I1" s="28"/>
      <c r="J1" s="28" t="s">
        <v>22</v>
      </c>
      <c r="K1" s="28"/>
      <c r="L1" s="28"/>
      <c r="M1" s="28" t="s">
        <v>21</v>
      </c>
      <c r="N1" s="28"/>
      <c r="O1" s="28"/>
      <c r="P1" s="28" t="s">
        <v>20</v>
      </c>
      <c r="Q1" s="28"/>
      <c r="R1" s="28"/>
      <c r="S1" s="28"/>
      <c r="T1" s="28"/>
      <c r="U1" s="28"/>
      <c r="V1" s="28"/>
      <c r="W1" s="28"/>
      <c r="X1" s="28"/>
      <c r="Y1" s="28"/>
      <c r="Z1" s="28"/>
      <c r="AA1" s="28"/>
      <c r="AB1" s="28"/>
      <c r="AC1" s="28"/>
      <c r="AD1" s="28"/>
      <c r="AE1" s="28"/>
      <c r="AF1" s="28"/>
      <c r="AG1" s="28"/>
    </row>
    <row r="2" spans="1:33" x14ac:dyDescent="0.3">
      <c r="A2" t="s">
        <v>18</v>
      </c>
      <c r="B2" t="s">
        <v>57</v>
      </c>
      <c r="C2" t="s">
        <v>10</v>
      </c>
      <c r="D2" t="s">
        <v>18</v>
      </c>
      <c r="E2" t="s">
        <v>17</v>
      </c>
      <c r="F2" t="s">
        <v>10</v>
      </c>
      <c r="G2" t="s">
        <v>16</v>
      </c>
      <c r="H2" t="s">
        <v>13</v>
      </c>
      <c r="I2" t="s">
        <v>10</v>
      </c>
      <c r="J2" t="s">
        <v>15</v>
      </c>
      <c r="K2" t="s">
        <v>14</v>
      </c>
      <c r="L2" t="s">
        <v>10</v>
      </c>
      <c r="M2" t="s">
        <v>13</v>
      </c>
      <c r="N2" t="s">
        <v>12</v>
      </c>
      <c r="O2" t="s">
        <v>10</v>
      </c>
      <c r="P2" t="s">
        <v>11</v>
      </c>
      <c r="Q2" t="s">
        <v>11</v>
      </c>
      <c r="R2" t="s">
        <v>10</v>
      </c>
    </row>
    <row r="3" spans="1:33" x14ac:dyDescent="0.3">
      <c r="A3">
        <v>350</v>
      </c>
      <c r="B3">
        <v>0.51641791044776131</v>
      </c>
      <c r="C3" t="s">
        <v>76</v>
      </c>
      <c r="D3">
        <v>350</v>
      </c>
      <c r="E3">
        <v>4.4980000000000011</v>
      </c>
      <c r="F3" t="s">
        <v>9</v>
      </c>
      <c r="G3">
        <v>8.7100000000000009</v>
      </c>
      <c r="H3">
        <v>0.86450000000000005</v>
      </c>
      <c r="I3" t="s">
        <v>9</v>
      </c>
      <c r="J3">
        <v>3.5828711993979501</v>
      </c>
      <c r="K3">
        <v>3.5828711993979461</v>
      </c>
      <c r="L3" t="s">
        <v>8</v>
      </c>
      <c r="M3">
        <v>0.86450000000000005</v>
      </c>
      <c r="N3">
        <v>0.97099999999999997</v>
      </c>
      <c r="O3" t="s">
        <v>9</v>
      </c>
      <c r="P3">
        <v>1.1232998658076401</v>
      </c>
      <c r="Q3">
        <v>1.1232998658076361</v>
      </c>
      <c r="R3" t="s">
        <v>8</v>
      </c>
    </row>
    <row r="4" spans="1:33" x14ac:dyDescent="0.3">
      <c r="A4">
        <v>1633</v>
      </c>
      <c r="B4">
        <v>0.24224664224664225</v>
      </c>
      <c r="C4">
        <v>2</v>
      </c>
      <c r="D4">
        <v>1633</v>
      </c>
      <c r="E4">
        <v>1.984</v>
      </c>
      <c r="F4">
        <v>1</v>
      </c>
      <c r="G4">
        <v>8.19</v>
      </c>
      <c r="H4">
        <v>0.93300000000000005</v>
      </c>
      <c r="I4">
        <v>1</v>
      </c>
      <c r="L4">
        <v>1</v>
      </c>
      <c r="M4">
        <v>0.93300000000000005</v>
      </c>
      <c r="N4">
        <v>1.0840000000000001</v>
      </c>
      <c r="O4">
        <v>1</v>
      </c>
      <c r="R4">
        <v>1</v>
      </c>
    </row>
    <row r="5" spans="1:33" x14ac:dyDescent="0.3">
      <c r="A5">
        <v>1701</v>
      </c>
      <c r="B5">
        <v>0.29483586869495609</v>
      </c>
      <c r="C5" t="s">
        <v>7</v>
      </c>
      <c r="D5">
        <v>1701</v>
      </c>
      <c r="E5">
        <v>2.9460000000000015</v>
      </c>
      <c r="F5" t="s">
        <v>7</v>
      </c>
      <c r="G5">
        <v>9.9920000000000009</v>
      </c>
      <c r="H5">
        <v>0.90450000000000008</v>
      </c>
      <c r="I5" t="s">
        <v>7</v>
      </c>
      <c r="L5" t="s">
        <v>7</v>
      </c>
      <c r="M5">
        <v>0.90450000000000008</v>
      </c>
      <c r="N5">
        <v>1.028</v>
      </c>
      <c r="O5" t="s">
        <v>7</v>
      </c>
      <c r="R5" t="s">
        <v>7</v>
      </c>
    </row>
    <row r="6" spans="1:33" x14ac:dyDescent="0.3">
      <c r="A6">
        <v>350</v>
      </c>
      <c r="B6">
        <v>0.50686746987951814</v>
      </c>
      <c r="C6" t="s">
        <v>6</v>
      </c>
      <c r="D6">
        <v>350</v>
      </c>
      <c r="E6">
        <v>4.2070000000000007</v>
      </c>
      <c r="F6" t="s">
        <v>6</v>
      </c>
      <c r="G6">
        <v>8.3000000000000007</v>
      </c>
      <c r="H6">
        <v>0.94050000000000011</v>
      </c>
      <c r="I6" t="s">
        <v>6</v>
      </c>
      <c r="L6" t="s">
        <v>6</v>
      </c>
      <c r="M6">
        <v>0.94050000000000011</v>
      </c>
      <c r="N6">
        <v>1.1240000000000001</v>
      </c>
      <c r="O6" t="s">
        <v>6</v>
      </c>
      <c r="R6" t="s">
        <v>6</v>
      </c>
    </row>
    <row r="7" spans="1:33" x14ac:dyDescent="0.3">
      <c r="A7">
        <v>204</v>
      </c>
      <c r="B7">
        <v>0.48848532701671271</v>
      </c>
      <c r="C7" s="2" t="s">
        <v>5</v>
      </c>
      <c r="D7">
        <v>204</v>
      </c>
      <c r="E7">
        <v>3.7120000000000002</v>
      </c>
      <c r="F7" s="2" t="s">
        <v>5</v>
      </c>
      <c r="G7">
        <v>7.5990000000000002</v>
      </c>
      <c r="H7">
        <v>0.79649999999999999</v>
      </c>
      <c r="I7" s="2" t="s">
        <v>5</v>
      </c>
      <c r="L7" s="2" t="s">
        <v>5</v>
      </c>
      <c r="M7">
        <v>0.79649999999999999</v>
      </c>
      <c r="N7">
        <v>0.98299999999999998</v>
      </c>
      <c r="O7" s="2" t="s">
        <v>5</v>
      </c>
      <c r="R7" s="2" t="s">
        <v>5</v>
      </c>
    </row>
    <row r="8" spans="1:33" x14ac:dyDescent="0.3">
      <c r="A8">
        <v>350</v>
      </c>
      <c r="B8">
        <v>0.51907273396295839</v>
      </c>
      <c r="C8" t="s">
        <v>4</v>
      </c>
      <c r="D8">
        <v>350</v>
      </c>
      <c r="E8">
        <v>4.2320000000000002</v>
      </c>
      <c r="F8" t="s">
        <v>4</v>
      </c>
      <c r="G8">
        <v>8.1530000000000005</v>
      </c>
      <c r="H8">
        <v>0.76550000000000007</v>
      </c>
      <c r="I8" t="s">
        <v>2</v>
      </c>
      <c r="L8" t="s">
        <v>1</v>
      </c>
      <c r="M8">
        <v>0.76550000000000007</v>
      </c>
      <c r="N8">
        <v>0.86</v>
      </c>
      <c r="O8" t="s">
        <v>2</v>
      </c>
      <c r="R8" t="s">
        <v>1</v>
      </c>
    </row>
    <row r="9" spans="1:33" x14ac:dyDescent="0.3">
      <c r="A9">
        <v>1360</v>
      </c>
      <c r="B9">
        <v>0.23732446415373248</v>
      </c>
      <c r="C9" s="2" t="s">
        <v>3</v>
      </c>
      <c r="D9">
        <v>1360</v>
      </c>
      <c r="E9">
        <v>3.2110000000000003</v>
      </c>
      <c r="F9" s="2" t="s">
        <v>3</v>
      </c>
      <c r="G9">
        <v>13.53</v>
      </c>
      <c r="H9">
        <v>1.609</v>
      </c>
      <c r="I9" s="2" t="s">
        <v>3</v>
      </c>
      <c r="L9" s="2" t="s">
        <v>3</v>
      </c>
      <c r="M9">
        <v>1.609</v>
      </c>
      <c r="N9">
        <v>2.085</v>
      </c>
      <c r="O9" s="2" t="s">
        <v>3</v>
      </c>
      <c r="R9" s="2" t="s">
        <v>3</v>
      </c>
    </row>
    <row r="10" spans="1:33" x14ac:dyDescent="0.3">
      <c r="A10">
        <v>488</v>
      </c>
      <c r="B10">
        <v>0.43940759819703801</v>
      </c>
      <c r="C10" t="s">
        <v>1</v>
      </c>
      <c r="D10">
        <v>488</v>
      </c>
      <c r="E10">
        <v>3.4119999999999999</v>
      </c>
      <c r="F10" t="s">
        <v>2</v>
      </c>
      <c r="G10">
        <v>7.7649999999999997</v>
      </c>
      <c r="H10">
        <v>0.9368399999999999</v>
      </c>
      <c r="I10" t="s">
        <v>2</v>
      </c>
      <c r="L10" t="s">
        <v>1</v>
      </c>
      <c r="M10">
        <v>0.9368399999999999</v>
      </c>
      <c r="N10" s="1">
        <v>1.2496799999999999</v>
      </c>
      <c r="O10" t="s">
        <v>2</v>
      </c>
      <c r="R10" t="s">
        <v>1</v>
      </c>
    </row>
    <row r="19" spans="11:11" x14ac:dyDescent="0.3">
      <c r="K19" s="1"/>
    </row>
  </sheetData>
  <mergeCells count="11">
    <mergeCell ref="G1:I1"/>
    <mergeCell ref="A1:C1"/>
    <mergeCell ref="D1:F1"/>
    <mergeCell ref="J1:L1"/>
    <mergeCell ref="M1:O1"/>
    <mergeCell ref="AE1:AG1"/>
    <mergeCell ref="P1:R1"/>
    <mergeCell ref="S1:U1"/>
    <mergeCell ref="V1:X1"/>
    <mergeCell ref="Y1:AA1"/>
    <mergeCell ref="AB1:AD1"/>
  </mergeCells>
  <conditionalFormatting sqref="B3">
    <cfRule type="expression" dxfId="0" priority="1">
      <formula>$C$3="CONSTANT"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8EA4731-8420-44A5-A1D6-16BD61D20DEC}">
          <x14:formula1>
            <xm:f>DEPENDENCIES!$I$2:$I$49</xm:f>
          </x14:formula1>
          <xm:sqref>A2:B2</xm:sqref>
        </x14:dataValidation>
        <x14:dataValidation type="list" allowBlank="1" showInputMessage="1" showErrorMessage="1" xr:uid="{5C323C9A-FD65-45BF-9240-4441780631F1}">
          <x14:formula1>
            <xm:f>DEPENDENCIES!$K$2:$K$7</xm:f>
          </x14:formula1>
          <xm:sqref>C3 F3 I3 L3 O3 R3</xm:sqref>
        </x14:dataValidation>
        <x14:dataValidation type="list" allowBlank="1" showInputMessage="1" showErrorMessage="1" xr:uid="{BD7E04EB-0D41-41CF-9EF1-248AD7D4D92E}">
          <x14:formula1>
            <xm:f>DEPENDENCIES!$L$2:$L$5</xm:f>
          </x14:formula1>
          <xm:sqref>C4 F4 I4 L4 O4 R4</xm:sqref>
        </x14:dataValidation>
        <x14:dataValidation type="list" allowBlank="1" showInputMessage="1" showErrorMessage="1" xr:uid="{7F014019-2989-4587-BD50-22DC27BC8869}">
          <x14:formula1>
            <xm:f>DEPENDENCIES!$O$2:$O$15</xm:f>
          </x14:formula1>
          <xm:sqref>C8 C10 F8 F10 I8 I10 L8 L10 O8 O10 R8 R10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2E12A-D0C5-4575-A3EC-B7179B6E3782}">
  <dimension ref="A1:O49"/>
  <sheetViews>
    <sheetView topLeftCell="G1" workbookViewId="0">
      <selection activeCell="L1" sqref="L1:O15"/>
    </sheetView>
  </sheetViews>
  <sheetFormatPr defaultRowHeight="14.4" x14ac:dyDescent="0.3"/>
  <cols>
    <col min="1" max="1" width="22.109375" customWidth="1"/>
    <col min="2" max="2" width="17.21875" customWidth="1"/>
    <col min="3" max="3" width="31.33203125" customWidth="1"/>
    <col min="4" max="4" width="23.44140625" customWidth="1"/>
    <col min="5" max="5" width="24.88671875" customWidth="1"/>
    <col min="6" max="6" width="21.21875" customWidth="1"/>
    <col min="9" max="9" width="40.5546875" customWidth="1"/>
    <col min="11" max="11" width="20.21875" customWidth="1"/>
    <col min="12" max="12" width="8.33203125" customWidth="1"/>
    <col min="13" max="13" width="10.33203125" customWidth="1"/>
    <col min="14" max="14" width="14.6640625" customWidth="1"/>
    <col min="15" max="15" width="17.109375" customWidth="1"/>
  </cols>
  <sheetData>
    <row r="1" spans="1:15" x14ac:dyDescent="0.3">
      <c r="A1" t="s">
        <v>25</v>
      </c>
      <c r="B1" t="s">
        <v>26</v>
      </c>
      <c r="C1" t="s">
        <v>27</v>
      </c>
      <c r="D1" t="s">
        <v>28</v>
      </c>
      <c r="E1" t="s">
        <v>29</v>
      </c>
      <c r="F1" t="s">
        <v>30</v>
      </c>
      <c r="I1" t="s">
        <v>31</v>
      </c>
      <c r="K1" t="s">
        <v>74</v>
      </c>
      <c r="L1" t="s">
        <v>75</v>
      </c>
      <c r="M1" t="s">
        <v>7</v>
      </c>
      <c r="N1" t="s">
        <v>95</v>
      </c>
      <c r="O1" t="s">
        <v>96</v>
      </c>
    </row>
    <row r="2" spans="1:15" x14ac:dyDescent="0.3">
      <c r="A2" s="3" t="s">
        <v>13</v>
      </c>
      <c r="B2" s="4" t="s">
        <v>32</v>
      </c>
      <c r="C2" s="5" t="s">
        <v>33</v>
      </c>
      <c r="D2" s="6" t="s">
        <v>34</v>
      </c>
      <c r="E2" s="7" t="s">
        <v>35</v>
      </c>
      <c r="F2" s="8" t="s">
        <v>36</v>
      </c>
      <c r="I2" s="3" t="s">
        <v>13</v>
      </c>
      <c r="K2" t="s">
        <v>9</v>
      </c>
      <c r="L2">
        <v>1</v>
      </c>
      <c r="M2" t="s">
        <v>97</v>
      </c>
      <c r="N2" t="s">
        <v>98</v>
      </c>
      <c r="O2" t="s">
        <v>2</v>
      </c>
    </row>
    <row r="3" spans="1:15" x14ac:dyDescent="0.3">
      <c r="A3" s="3" t="s">
        <v>12</v>
      </c>
      <c r="B3" s="4" t="s">
        <v>37</v>
      </c>
      <c r="C3" s="5" t="s">
        <v>38</v>
      </c>
      <c r="D3" s="6" t="s">
        <v>39</v>
      </c>
      <c r="E3" s="7" t="s">
        <v>40</v>
      </c>
      <c r="F3" s="8" t="s">
        <v>41</v>
      </c>
      <c r="I3" s="3" t="s">
        <v>12</v>
      </c>
      <c r="K3" t="s">
        <v>76</v>
      </c>
      <c r="L3">
        <v>2</v>
      </c>
      <c r="M3" t="s">
        <v>6</v>
      </c>
      <c r="N3" t="s">
        <v>99</v>
      </c>
      <c r="O3" t="s">
        <v>100</v>
      </c>
    </row>
    <row r="4" spans="1:15" x14ac:dyDescent="0.3">
      <c r="A4" s="3" t="s">
        <v>11</v>
      </c>
      <c r="B4" s="4" t="s">
        <v>42</v>
      </c>
      <c r="C4" s="5" t="s">
        <v>43</v>
      </c>
      <c r="D4" s="6" t="s">
        <v>44</v>
      </c>
      <c r="E4" s="7" t="s">
        <v>45</v>
      </c>
      <c r="F4" s="8" t="s">
        <v>46</v>
      </c>
      <c r="I4" s="3" t="s">
        <v>11</v>
      </c>
      <c r="K4" t="s">
        <v>77</v>
      </c>
      <c r="L4">
        <v>3</v>
      </c>
      <c r="O4" t="s">
        <v>101</v>
      </c>
    </row>
    <row r="5" spans="1:15" x14ac:dyDescent="0.3">
      <c r="A5" s="3" t="s">
        <v>14</v>
      </c>
      <c r="B5" s="4" t="s">
        <v>47</v>
      </c>
      <c r="C5" s="5" t="s">
        <v>48</v>
      </c>
      <c r="D5" s="6" t="s">
        <v>49</v>
      </c>
      <c r="E5" s="7" t="s">
        <v>50</v>
      </c>
      <c r="F5" s="8" t="s">
        <v>51</v>
      </c>
      <c r="I5" s="3" t="s">
        <v>15</v>
      </c>
      <c r="K5" t="s">
        <v>78</v>
      </c>
      <c r="L5">
        <v>4</v>
      </c>
      <c r="O5" t="s">
        <v>102</v>
      </c>
    </row>
    <row r="6" spans="1:15" x14ac:dyDescent="0.3">
      <c r="A6" s="9" t="s">
        <v>19</v>
      </c>
      <c r="B6" s="4" t="s">
        <v>52</v>
      </c>
      <c r="C6" s="5" t="s">
        <v>53</v>
      </c>
      <c r="D6" s="6" t="s">
        <v>54</v>
      </c>
      <c r="E6" s="7" t="s">
        <v>55</v>
      </c>
      <c r="F6" s="8" t="s">
        <v>56</v>
      </c>
      <c r="I6" s="3" t="s">
        <v>57</v>
      </c>
      <c r="K6" t="s">
        <v>79</v>
      </c>
      <c r="O6" t="s">
        <v>87</v>
      </c>
    </row>
    <row r="7" spans="1:15" x14ac:dyDescent="0.3">
      <c r="A7" s="9" t="s">
        <v>17</v>
      </c>
      <c r="B7" s="4" t="s">
        <v>58</v>
      </c>
      <c r="C7" s="5" t="s">
        <v>59</v>
      </c>
      <c r="D7" s="6" t="s">
        <v>60</v>
      </c>
      <c r="E7" s="7" t="s">
        <v>61</v>
      </c>
      <c r="F7" s="8" t="s">
        <v>62</v>
      </c>
      <c r="I7" s="3" t="s">
        <v>17</v>
      </c>
      <c r="K7" t="s">
        <v>8</v>
      </c>
      <c r="O7" t="s">
        <v>103</v>
      </c>
    </row>
    <row r="8" spans="1:15" x14ac:dyDescent="0.3">
      <c r="A8" s="10"/>
      <c r="B8" s="4" t="s">
        <v>63</v>
      </c>
      <c r="D8" s="6" t="s">
        <v>64</v>
      </c>
      <c r="E8" s="7" t="s">
        <v>65</v>
      </c>
      <c r="I8" s="3" t="s">
        <v>16</v>
      </c>
      <c r="O8" t="s">
        <v>86</v>
      </c>
    </row>
    <row r="9" spans="1:15" x14ac:dyDescent="0.3">
      <c r="A9" s="10"/>
      <c r="B9" s="4" t="s">
        <v>66</v>
      </c>
      <c r="D9" s="6" t="s">
        <v>67</v>
      </c>
      <c r="E9" s="7" t="s">
        <v>68</v>
      </c>
      <c r="I9" s="11" t="s">
        <v>18</v>
      </c>
      <c r="O9" t="s">
        <v>104</v>
      </c>
    </row>
    <row r="10" spans="1:15" x14ac:dyDescent="0.3">
      <c r="A10" s="10"/>
      <c r="I10" s="4" t="s">
        <v>32</v>
      </c>
      <c r="O10" t="s">
        <v>4</v>
      </c>
    </row>
    <row r="11" spans="1:15" x14ac:dyDescent="0.3">
      <c r="A11" s="10"/>
      <c r="E11" s="10"/>
      <c r="I11" s="4" t="s">
        <v>37</v>
      </c>
      <c r="O11" t="s">
        <v>105</v>
      </c>
    </row>
    <row r="12" spans="1:15" x14ac:dyDescent="0.3">
      <c r="A12" s="10"/>
      <c r="E12" s="10"/>
      <c r="I12" s="4" t="s">
        <v>42</v>
      </c>
      <c r="O12" t="s">
        <v>106</v>
      </c>
    </row>
    <row r="13" spans="1:15" x14ac:dyDescent="0.3">
      <c r="E13" s="10"/>
      <c r="F13" s="10"/>
      <c r="I13" s="4" t="s">
        <v>47</v>
      </c>
      <c r="O13" t="s">
        <v>88</v>
      </c>
    </row>
    <row r="14" spans="1:15" x14ac:dyDescent="0.3">
      <c r="E14" s="10"/>
      <c r="F14" s="10"/>
      <c r="I14" s="4" t="s">
        <v>69</v>
      </c>
      <c r="O14" t="s">
        <v>107</v>
      </c>
    </row>
    <row r="15" spans="1:15" x14ac:dyDescent="0.3">
      <c r="E15" s="10"/>
      <c r="F15" s="10"/>
      <c r="I15" s="4" t="s">
        <v>58</v>
      </c>
      <c r="O15" t="s">
        <v>1</v>
      </c>
    </row>
    <row r="16" spans="1:15" x14ac:dyDescent="0.3">
      <c r="E16" s="10"/>
      <c r="I16" s="4" t="s">
        <v>63</v>
      </c>
    </row>
    <row r="17" spans="3:9" x14ac:dyDescent="0.3">
      <c r="E17" s="10"/>
      <c r="F17" s="10"/>
      <c r="I17" s="4" t="s">
        <v>66</v>
      </c>
    </row>
    <row r="18" spans="3:9" x14ac:dyDescent="0.3">
      <c r="E18" s="10"/>
      <c r="F18" s="10"/>
      <c r="I18" s="5" t="s">
        <v>33</v>
      </c>
    </row>
    <row r="19" spans="3:9" x14ac:dyDescent="0.3">
      <c r="C19" s="10"/>
      <c r="D19" s="10"/>
      <c r="E19" s="10"/>
      <c r="F19" s="10"/>
      <c r="I19" s="5" t="s">
        <v>38</v>
      </c>
    </row>
    <row r="20" spans="3:9" x14ac:dyDescent="0.3">
      <c r="C20" s="10"/>
      <c r="D20" s="10"/>
      <c r="E20" s="10"/>
      <c r="F20" s="10"/>
      <c r="I20" s="5" t="s">
        <v>43</v>
      </c>
    </row>
    <row r="21" spans="3:9" x14ac:dyDescent="0.3">
      <c r="D21" s="10"/>
      <c r="E21" s="10"/>
      <c r="I21" s="5" t="s">
        <v>48</v>
      </c>
    </row>
    <row r="22" spans="3:9" x14ac:dyDescent="0.3">
      <c r="D22" s="10"/>
      <c r="E22" s="10"/>
      <c r="I22" s="5" t="s">
        <v>53</v>
      </c>
    </row>
    <row r="23" spans="3:9" x14ac:dyDescent="0.3">
      <c r="C23" s="10"/>
      <c r="E23" s="10"/>
      <c r="I23" s="5" t="s">
        <v>59</v>
      </c>
    </row>
    <row r="24" spans="3:9" x14ac:dyDescent="0.3">
      <c r="D24" s="10"/>
      <c r="I24" s="12" t="s">
        <v>34</v>
      </c>
    </row>
    <row r="25" spans="3:9" x14ac:dyDescent="0.3">
      <c r="C25" s="10"/>
      <c r="I25" s="12" t="s">
        <v>39</v>
      </c>
    </row>
    <row r="26" spans="3:9" x14ac:dyDescent="0.3">
      <c r="I26" s="12" t="s">
        <v>44</v>
      </c>
    </row>
    <row r="27" spans="3:9" x14ac:dyDescent="0.3">
      <c r="I27" s="12" t="s">
        <v>49</v>
      </c>
    </row>
    <row r="28" spans="3:9" x14ac:dyDescent="0.3">
      <c r="I28" s="12" t="s">
        <v>54</v>
      </c>
    </row>
    <row r="29" spans="3:9" x14ac:dyDescent="0.3">
      <c r="I29" s="12" t="s">
        <v>60</v>
      </c>
    </row>
    <row r="30" spans="3:9" x14ac:dyDescent="0.3">
      <c r="I30" s="12" t="s">
        <v>64</v>
      </c>
    </row>
    <row r="31" spans="3:9" x14ac:dyDescent="0.3">
      <c r="I31" s="12" t="s">
        <v>67</v>
      </c>
    </row>
    <row r="32" spans="3:9" x14ac:dyDescent="0.3">
      <c r="I32" s="7" t="s">
        <v>35</v>
      </c>
    </row>
    <row r="33" spans="9:9" x14ac:dyDescent="0.3">
      <c r="I33" s="7" t="s">
        <v>40</v>
      </c>
    </row>
    <row r="34" spans="9:9" x14ac:dyDescent="0.3">
      <c r="I34" s="7" t="s">
        <v>45</v>
      </c>
    </row>
    <row r="35" spans="9:9" x14ac:dyDescent="0.3">
      <c r="I35" s="7" t="s">
        <v>50</v>
      </c>
    </row>
    <row r="36" spans="9:9" x14ac:dyDescent="0.3">
      <c r="I36" s="7" t="s">
        <v>55</v>
      </c>
    </row>
    <row r="37" spans="9:9" x14ac:dyDescent="0.3">
      <c r="I37" s="7" t="s">
        <v>61</v>
      </c>
    </row>
    <row r="38" spans="9:9" x14ac:dyDescent="0.3">
      <c r="I38" s="7" t="s">
        <v>65</v>
      </c>
    </row>
    <row r="39" spans="9:9" x14ac:dyDescent="0.3">
      <c r="I39" s="7" t="s">
        <v>68</v>
      </c>
    </row>
    <row r="40" spans="9:9" x14ac:dyDescent="0.3">
      <c r="I40" s="8" t="s">
        <v>36</v>
      </c>
    </row>
    <row r="41" spans="9:9" x14ac:dyDescent="0.3">
      <c r="I41" s="8" t="s">
        <v>41</v>
      </c>
    </row>
    <row r="42" spans="9:9" x14ac:dyDescent="0.3">
      <c r="I42" s="8" t="s">
        <v>46</v>
      </c>
    </row>
    <row r="43" spans="9:9" x14ac:dyDescent="0.3">
      <c r="I43" s="8" t="s">
        <v>51</v>
      </c>
    </row>
    <row r="44" spans="9:9" x14ac:dyDescent="0.3">
      <c r="I44" s="8" t="s">
        <v>56</v>
      </c>
    </row>
    <row r="45" spans="9:9" x14ac:dyDescent="0.3">
      <c r="I45" s="8" t="s">
        <v>62</v>
      </c>
    </row>
    <row r="46" spans="9:9" x14ac:dyDescent="0.3">
      <c r="I46" s="11" t="s">
        <v>70</v>
      </c>
    </row>
    <row r="47" spans="9:9" x14ac:dyDescent="0.3">
      <c r="I47" s="11" t="s">
        <v>71</v>
      </c>
    </row>
    <row r="48" spans="9:9" x14ac:dyDescent="0.3">
      <c r="I48" s="11" t="s">
        <v>72</v>
      </c>
    </row>
    <row r="49" spans="9:9" x14ac:dyDescent="0.3">
      <c r="I49" s="11" t="s">
        <v>73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FUSELAGE</vt:lpstr>
      <vt:lpstr>DEPENDENCIES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Amedeo Falco</dc:creator>
  <cp:lastModifiedBy>AMEDEO FALCO</cp:lastModifiedBy>
  <dcterms:created xsi:type="dcterms:W3CDTF">2015-06-05T18:17:20Z</dcterms:created>
  <dcterms:modified xsi:type="dcterms:W3CDTF">2026-01-24T10:54:23Z</dcterms:modified>
</cp:coreProperties>
</file>